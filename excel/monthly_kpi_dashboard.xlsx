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Data_Analytics\olist_analysis\excel\"/>
    </mc:Choice>
  </mc:AlternateContent>
  <bookViews>
    <workbookView xWindow="0" yWindow="0" windowWidth="23040" windowHeight="9012" activeTab="1"/>
  </bookViews>
  <sheets>
    <sheet name="工作表1" sheetId="2" r:id="rId1"/>
    <sheet name="工作表2" sheetId="3" r:id="rId2"/>
    <sheet name="monthly_kpi" sheetId="1" r:id="rId3"/>
  </sheets>
  <definedNames>
    <definedName name="Slicer_purchase_month">#N/A</definedName>
  </definedNames>
  <calcPr calcId="0"/>
  <pivotCaches>
    <pivotCache cacheId="11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<sst xmlns="http://schemas.openxmlformats.org/spreadsheetml/2006/main" count="131" uniqueCount="35">
  <si>
    <t>purchase_month</t>
  </si>
  <si>
    <t>total_orders</t>
  </si>
  <si>
    <t>avg_delivery_days</t>
  </si>
  <si>
    <t>avg_delay</t>
  </si>
  <si>
    <t>delayed_orders</t>
  </si>
  <si>
    <t>delay_rate</t>
  </si>
  <si>
    <t>purchase_month_str</t>
  </si>
  <si>
    <t>2016-09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</si>
  <si>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</si>
  <si>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</si>
  <si>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</si>
  <si>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</si>
  <si>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</si>
  <si>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</si>
  <si>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</si>
  <si>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</si>
  <si>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</si>
  <si>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</si>
  <si>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</si>
  <si>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</si>
  <si>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</si>
  <si>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</si>
  <si>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</si>
  <si>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</si>
  <si>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</si>
  <si>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</si>
  <si>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</si>
  <si>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</si>
  <si>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</si>
  <si>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</si>
  <si>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總計</t>
  </si>
  <si>
    <t>列標籤</t>
  </si>
  <si>
    <t>平均值 - total_orders</t>
  </si>
  <si>
    <t>平均值 - delay_rate</t>
  </si>
  <si>
    <t>平均值 - avg_delay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</si>
</sst>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[monthly_kpi_dashboard.xlsx]工作表1!樞紐分析表5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工作表1!$F$3</c:f>
              <c:strCache>
                <c:ptCount val="1"/>
                <c:pt idx="0">
                  <c:v>合計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工作表1!$E$4:$E$27</c:f>
              <c:strCache>
                <c:ptCount val="23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</c:strCache>
            </c:strRef>
          </c:cat>
          <c:val>
            <c:numRef>
              <c:f>工作表1!$F$4:$F$27</c:f>
              <c:numCache>
                <c:formatCode>General</c:formatCode>
                <c:ptCount val="23"/>
                <c:pt idx="0">
                  <c:v>1</c:v>
                </c:pt>
                <c:pt idx="1">
                  <c:v>265</c:v>
                </c:pt>
                <c:pt idx="2">
                  <c:v>1</c:v>
                </c:pt>
                <c:pt idx="3">
                  <c:v>750</c:v>
                </c:pt>
                <c:pt idx="4">
                  <c:v>1653</c:v>
                </c:pt>
                <c:pt idx="5">
                  <c:v>2546</c:v>
                </c:pt>
                <c:pt idx="6">
                  <c:v>2303</c:v>
                </c:pt>
                <c:pt idx="7">
                  <c:v>3545</c:v>
                </c:pt>
                <c:pt idx="8">
                  <c:v>3135</c:v>
                </c:pt>
                <c:pt idx="9">
                  <c:v>3872</c:v>
                </c:pt>
                <c:pt idx="10">
                  <c:v>4193</c:v>
                </c:pt>
                <c:pt idx="11">
                  <c:v>4150</c:v>
                </c:pt>
                <c:pt idx="12">
                  <c:v>4478</c:v>
                </c:pt>
                <c:pt idx="13">
                  <c:v>7288</c:v>
                </c:pt>
                <c:pt idx="14">
                  <c:v>5513</c:v>
                </c:pt>
                <c:pt idx="15">
                  <c:v>7069</c:v>
                </c:pt>
                <c:pt idx="16">
                  <c:v>6555</c:v>
                </c:pt>
                <c:pt idx="17">
                  <c:v>7003</c:v>
                </c:pt>
                <c:pt idx="18">
                  <c:v>6798</c:v>
                </c:pt>
                <c:pt idx="19">
                  <c:v>6749</c:v>
                </c:pt>
                <c:pt idx="20">
                  <c:v>6096</c:v>
                </c:pt>
                <c:pt idx="21">
                  <c:v>6156</c:v>
                </c:pt>
                <c:pt idx="22">
                  <c:v>6351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2C-4168-A1C0-FAE36BA0B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652576"/>
        <c:axId val="601653232"/>
      </c:lineChart>
      <c:catAx>
        <c:axId val="60165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653232"/>
        <c:crosses val="autoZero"/>
        <c:auto val="1"/>
        <c:lblAlgn val="ctr"/>
        <c:lblOffset val="100"/>
        <c:noMultiLvlLbl val="0"/>
      </c:catAx>
      <c:valAx>
        <c:axId val="60165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65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[monthly_kpi_dashboard.xlsx]工作表1!樞紐分析表6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工作表1!$J$3</c:f>
              <c:strCache>
                <c:ptCount val="1"/>
                <c:pt idx="0">
                  <c:v>合計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工作表1!$I$4:$I$27</c:f>
              <c:strCache>
                <c:ptCount val="23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</c:strCache>
            </c:strRef>
          </c:cat>
          <c:val>
            <c:numRef>
              <c:f>工作表1!$J$4:$J$27</c:f>
              <c:numCache>
                <c:formatCode>General</c:formatCode>
                <c:ptCount val="23"/>
                <c:pt idx="0">
                  <c:v>36</c:v>
                </c:pt>
                <c:pt idx="1">
                  <c:v>-36.675471698113199</c:v>
                </c:pt>
                <c:pt idx="2">
                  <c:v>-22</c:v>
                </c:pt>
                <c:pt idx="3">
                  <c:v>-27.408000000000001</c:v>
                </c:pt>
                <c:pt idx="4">
                  <c:v>-19.1954022988505</c:v>
                </c:pt>
                <c:pt idx="5">
                  <c:v>-12.327179890023499</c:v>
                </c:pt>
                <c:pt idx="6">
                  <c:v>-12.971775944420299</c:v>
                </c:pt>
                <c:pt idx="7">
                  <c:v>-13.4978843441466</c:v>
                </c:pt>
                <c:pt idx="8">
                  <c:v>-12.644338118022301</c:v>
                </c:pt>
                <c:pt idx="9">
                  <c:v>-12.4708161157024</c:v>
                </c:pt>
                <c:pt idx="10">
                  <c:v>-13.097543524922401</c:v>
                </c:pt>
                <c:pt idx="11">
                  <c:v>-11.3481927710843</c:v>
                </c:pt>
                <c:pt idx="12">
                  <c:v>-11.923403305046801</c:v>
                </c:pt>
                <c:pt idx="13">
                  <c:v>-8.1234906695938491</c:v>
                </c:pt>
                <c:pt idx="14">
                  <c:v>-13.0085253038273</c:v>
                </c:pt>
                <c:pt idx="15">
                  <c:v>-12.934361295798499</c:v>
                </c:pt>
                <c:pt idx="16">
                  <c:v>-8.2907704042715409</c:v>
                </c:pt>
                <c:pt idx="17">
                  <c:v>-6.4276738540625402</c:v>
                </c:pt>
                <c:pt idx="18">
                  <c:v>-12.8951162106501</c:v>
                </c:pt>
                <c:pt idx="19">
                  <c:v>-12.1909912579641</c:v>
                </c:pt>
                <c:pt idx="20">
                  <c:v>-19.2440944881889</c:v>
                </c:pt>
                <c:pt idx="21">
                  <c:v>-11.441520467836201</c:v>
                </c:pt>
                <c:pt idx="22">
                  <c:v>-8.1621791843804097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05-42A4-8824-1B5C115BD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656184"/>
        <c:axId val="696907952"/>
      </c:lineChart>
      <c:catAx>
        <c:axId val="601656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907952"/>
        <c:crosses val="autoZero"/>
        <c:auto val="1"/>
        <c:lblAlgn val="ctr"/>
        <c:lblOffset val="100"/>
        <c:noMultiLvlLbl val="0"/>
      </c:catAx>
      <c:valAx>
        <c:axId val="69690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65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[monthly_kpi_dashboard.xlsx]工作表1!樞紐分析表7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工作表1!$N$3</c:f>
              <c:strCache>
                <c:ptCount val="1"/>
                <c:pt idx="0">
                  <c:v>合計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工作表1!$M$4:$M$27</c:f>
              <c:strCache>
                <c:ptCount val="23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</c:strCache>
            </c:strRef>
          </c:cat>
          <c:val>
            <c:numRef>
              <c:f>工作表1!$N$4:$N$27</c:f>
              <c:numCache>
                <c:formatCode>General</c:formatCode>
                <c:ptCount val="23"/>
                <c:pt idx="0">
                  <c:v>1</c:v>
                </c:pt>
                <c:pt idx="1">
                  <c:v>7.5471698113207496E-3</c:v>
                </c:pt>
                <c:pt idx="2">
                  <c:v>0</c:v>
                </c:pt>
                <c:pt idx="3">
                  <c:v>2.9333333333333302E-2</c:v>
                </c:pt>
                <c:pt idx="4">
                  <c:v>2.9643073200241898E-2</c:v>
                </c:pt>
                <c:pt idx="5">
                  <c:v>4.5561665357423398E-2</c:v>
                </c:pt>
                <c:pt idx="6">
                  <c:v>6.5566652192791994E-2</c:v>
                </c:pt>
                <c:pt idx="7">
                  <c:v>2.9901269393511901E-2</c:v>
                </c:pt>
                <c:pt idx="8">
                  <c:v>3.03030303030303E-2</c:v>
                </c:pt>
                <c:pt idx="9">
                  <c:v>2.7892561983470999E-2</c:v>
                </c:pt>
                <c:pt idx="10">
                  <c:v>2.90961125685666E-2</c:v>
                </c:pt>
                <c:pt idx="11">
                  <c:v>4.3855421686746901E-2</c:v>
                </c:pt>
                <c:pt idx="12">
                  <c:v>4.1759714158106198E-2</c:v>
                </c:pt>
                <c:pt idx="13">
                  <c:v>0.12403951701427</c:v>
                </c:pt>
                <c:pt idx="14">
                  <c:v>7.4551061128242294E-2</c:v>
                </c:pt>
                <c:pt idx="15">
                  <c:v>5.7009478002546299E-2</c:v>
                </c:pt>
                <c:pt idx="16">
                  <c:v>0.14126620900076201</c:v>
                </c:pt>
                <c:pt idx="17">
                  <c:v>0.18963301442239</c:v>
                </c:pt>
                <c:pt idx="18">
                  <c:v>4.50132391879964E-2</c:v>
                </c:pt>
                <c:pt idx="19">
                  <c:v>6.5639353978367093E-2</c:v>
                </c:pt>
                <c:pt idx="20">
                  <c:v>1.16469816272965E-2</c:v>
                </c:pt>
                <c:pt idx="21">
                  <c:v>3.3788174139051302E-2</c:v>
                </c:pt>
                <c:pt idx="22">
                  <c:v>6.18800188946622E-2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41-4F61-9BC2-7BE5EE16C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7004104"/>
        <c:axId val="697006072"/>
      </c:lineChart>
      <c:catAx>
        <c:axId val="697004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06072"/>
        <c:crosses val="autoZero"/>
        <c:auto val="1"/>
        <c:lblAlgn val="ctr"/>
        <c:lblOffset val="100"/>
        <c:noMultiLvlLbl val="0"/>
      </c:catAx>
      <c:valAx>
        <c:axId val="697006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04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[monthly_kpi_dashboard.xlsx]工作表1!樞紐分析表5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合計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工作表1!$F$3</c:f>
              <c:strCache>
                <c:ptCount val="1"/>
                <c:pt idx="0">
                  <c:v>合計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工作表1!$E$4:$E$27</c:f>
              <c:strCache>
                <c:ptCount val="23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</c:strCache>
            </c:strRef>
          </c:cat>
          <c:val>
            <c:numRef>
              <c:f>工作表1!$F$4:$F$27</c:f>
              <c:numCache>
                <c:formatCode>General</c:formatCode>
                <c:ptCount val="23"/>
                <c:pt idx="0">
                  <c:v>1</c:v>
                </c:pt>
                <c:pt idx="1">
                  <c:v>265</c:v>
                </c:pt>
                <c:pt idx="2">
                  <c:v>1</c:v>
                </c:pt>
                <c:pt idx="3">
                  <c:v>750</c:v>
                </c:pt>
                <c:pt idx="4">
                  <c:v>1653</c:v>
                </c:pt>
                <c:pt idx="5">
                  <c:v>2546</c:v>
                </c:pt>
                <c:pt idx="6">
                  <c:v>2303</c:v>
                </c:pt>
                <c:pt idx="7">
                  <c:v>3545</c:v>
                </c:pt>
                <c:pt idx="8">
                  <c:v>3135</c:v>
                </c:pt>
                <c:pt idx="9">
                  <c:v>3872</c:v>
                </c:pt>
                <c:pt idx="10">
                  <c:v>4193</c:v>
                </c:pt>
                <c:pt idx="11">
                  <c:v>4150</c:v>
                </c:pt>
                <c:pt idx="12">
                  <c:v>4478</c:v>
                </c:pt>
                <c:pt idx="13">
                  <c:v>7288</c:v>
                </c:pt>
                <c:pt idx="14">
                  <c:v>5513</c:v>
                </c:pt>
                <c:pt idx="15">
                  <c:v>7069</c:v>
                </c:pt>
                <c:pt idx="16">
                  <c:v>6555</c:v>
                </c:pt>
                <c:pt idx="17">
                  <c:v>7003</c:v>
                </c:pt>
                <c:pt idx="18">
                  <c:v>6798</c:v>
                </c:pt>
                <c:pt idx="19">
                  <c:v>6749</c:v>
                </c:pt>
                <c:pt idx="20">
                  <c:v>6096</c:v>
                </c:pt>
                <c:pt idx="21">
                  <c:v>6156</c:v>
                </c:pt>
                <c:pt idx="22">
                  <c:v>6351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4C-4850-BFA8-EEF3C1F07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656184"/>
        <c:axId val="696907952"/>
      </c:lineChart>
      <c:catAx>
        <c:axId val="601656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907952"/>
        <c:crosses val="autoZero"/>
        <c:auto val="1"/>
        <c:lblAlgn val="ctr"/>
        <c:lblOffset val="100"/>
        <c:noMultiLvlLbl val="0"/>
      </c:catAx>
      <c:valAx>
        <c:axId val="69690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656184"/>
        <c:crosses val="autoZero"/>
        <c:crossBetween val="between"/>
      </c:valAx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[monthly_kpi_dashboard.xlsx]工作表1!樞紐分析表6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8.9103987741177323E-2"/>
          <c:y val="0.24406130268199233"/>
          <c:w val="0.81201861601619341"/>
          <c:h val="0.65517543065737471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工作表1!$J$3</c:f>
              <c:strCache>
                <c:ptCount val="1"/>
                <c:pt idx="0">
                  <c:v>合計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工作表1!$I$4:$I$27</c:f>
              <c:strCache>
                <c:ptCount val="23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</c:strCache>
            </c:strRef>
          </c:cat>
          <c:val>
            <c:numRef>
              <c:f>工作表1!$J$4:$J$27</c:f>
              <c:numCache>
                <c:formatCode>General</c:formatCode>
                <c:ptCount val="23"/>
                <c:pt idx="0">
                  <c:v>36</c:v>
                </c:pt>
                <c:pt idx="1">
                  <c:v>-36.675471698113199</c:v>
                </c:pt>
                <c:pt idx="2">
                  <c:v>-22</c:v>
                </c:pt>
                <c:pt idx="3">
                  <c:v>-27.408000000000001</c:v>
                </c:pt>
                <c:pt idx="4">
                  <c:v>-19.1954022988505</c:v>
                </c:pt>
                <c:pt idx="5">
                  <c:v>-12.327179890023499</c:v>
                </c:pt>
                <c:pt idx="6">
                  <c:v>-12.971775944420299</c:v>
                </c:pt>
                <c:pt idx="7">
                  <c:v>-13.4978843441466</c:v>
                </c:pt>
                <c:pt idx="8">
                  <c:v>-12.644338118022301</c:v>
                </c:pt>
                <c:pt idx="9">
                  <c:v>-12.4708161157024</c:v>
                </c:pt>
                <c:pt idx="10">
                  <c:v>-13.097543524922401</c:v>
                </c:pt>
                <c:pt idx="11">
                  <c:v>-11.3481927710843</c:v>
                </c:pt>
                <c:pt idx="12">
                  <c:v>-11.923403305046801</c:v>
                </c:pt>
                <c:pt idx="13">
                  <c:v>-8.1234906695938491</c:v>
                </c:pt>
                <c:pt idx="14">
                  <c:v>-13.0085253038273</c:v>
                </c:pt>
                <c:pt idx="15">
                  <c:v>-12.934361295798499</c:v>
                </c:pt>
                <c:pt idx="16">
                  <c:v>-8.2907704042715409</c:v>
                </c:pt>
                <c:pt idx="17">
                  <c:v>-6.4276738540625402</c:v>
                </c:pt>
                <c:pt idx="18">
                  <c:v>-12.8951162106501</c:v>
                </c:pt>
                <c:pt idx="19">
                  <c:v>-12.1909912579641</c:v>
                </c:pt>
                <c:pt idx="20">
                  <c:v>-19.2440944881889</c:v>
                </c:pt>
                <c:pt idx="21">
                  <c:v>-11.441520467836201</c:v>
                </c:pt>
                <c:pt idx="22">
                  <c:v>-8.1621791843804097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8F-46B4-891A-89668FD7A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656184"/>
        <c:axId val="696907952"/>
      </c:lineChart>
      <c:catAx>
        <c:axId val="601656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907952"/>
        <c:crosses val="autoZero"/>
        <c:auto val="1"/>
        <c:lblAlgn val="ctr"/>
        <c:lblOffset val="100"/>
        <c:noMultiLvlLbl val="0"/>
      </c:catAx>
      <c:valAx>
        <c:axId val="69690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656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[monthly_kpi_dashboard.xlsx]工作表1!樞紐分析表7</c:name>
    <c:fmtId val="8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工作表1!$N$3</c:f>
              <c:strCache>
                <c:ptCount val="1"/>
                <c:pt idx="0">
                  <c:v>合計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工作表1!$M$4:$M$27</c:f>
              <c:strCache>
                <c:ptCount val="23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</c:strCache>
            </c:strRef>
          </c:cat>
          <c:val>
            <c:numRef>
              <c:f>工作表1!$N$4:$N$27</c:f>
              <c:numCache>
                <c:formatCode>General</c:formatCode>
                <c:ptCount val="23"/>
                <c:pt idx="0">
                  <c:v>1</c:v>
                </c:pt>
                <c:pt idx="1">
                  <c:v>7.5471698113207496E-3</c:v>
                </c:pt>
                <c:pt idx="2">
                  <c:v>0</c:v>
                </c:pt>
                <c:pt idx="3">
                  <c:v>2.9333333333333302E-2</c:v>
                </c:pt>
                <c:pt idx="4">
                  <c:v>2.9643073200241898E-2</c:v>
                </c:pt>
                <c:pt idx="5">
                  <c:v>4.5561665357423398E-2</c:v>
                </c:pt>
                <c:pt idx="6">
                  <c:v>6.5566652192791994E-2</c:v>
                </c:pt>
                <c:pt idx="7">
                  <c:v>2.9901269393511901E-2</c:v>
                </c:pt>
                <c:pt idx="8">
                  <c:v>3.03030303030303E-2</c:v>
                </c:pt>
                <c:pt idx="9">
                  <c:v>2.7892561983470999E-2</c:v>
                </c:pt>
                <c:pt idx="10">
                  <c:v>2.90961125685666E-2</c:v>
                </c:pt>
                <c:pt idx="11">
                  <c:v>4.3855421686746901E-2</c:v>
                </c:pt>
                <c:pt idx="12">
                  <c:v>4.1759714158106198E-2</c:v>
                </c:pt>
                <c:pt idx="13">
                  <c:v>0.12403951701427</c:v>
                </c:pt>
                <c:pt idx="14">
                  <c:v>7.4551061128242294E-2</c:v>
                </c:pt>
                <c:pt idx="15">
                  <c:v>5.7009478002546299E-2</c:v>
                </c:pt>
                <c:pt idx="16">
                  <c:v>0.14126620900076201</c:v>
                </c:pt>
                <c:pt idx="17">
                  <c:v>0.18963301442239</c:v>
                </c:pt>
                <c:pt idx="18">
                  <c:v>4.50132391879964E-2</c:v>
                </c:pt>
                <c:pt idx="19">
                  <c:v>6.5639353978367093E-2</c:v>
                </c:pt>
                <c:pt idx="20">
                  <c:v>1.16469816272965E-2</c:v>
                </c:pt>
                <c:pt idx="21">
                  <c:v>3.3788174139051302E-2</c:v>
                </c:pt>
                <c:pt idx="22">
                  <c:v>6.18800188946622E-2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0A-4754-8CEF-DC5516299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7004104"/>
        <c:axId val="697006072"/>
      </c:lineChart>
      <c:catAx>
        <c:axId val="697004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06072"/>
        <c:crosses val="autoZero"/>
        <c:auto val="1"/>
        <c:lblAlgn val="ctr"/>
        <c:lblOffset val="100"/>
        <c:noMultiLvlLbl val="0"/>
      </c:catAx>
      <c:valAx>
        <c:axId val="697006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04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160020</xdr:colOff>
      <xdr:row>7</xdr:row>
      <xdr:rowOff>190500</xdr:rowOff>
    </xdr:from>
    <xdr:to>
      <xdr:col>4</xdr:col>
      <xdr:colOff>45720</xdr:colOff>
      <xdr:row>21</xdr:row>
      <xdr:rowOff>112395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urchase_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urchase_month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020" y="1577340"/>
              <a:ext cx="2575560" cy="2695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>
    <xdr:from>
      <xdr:col>4</xdr:col>
      <xdr:colOff>167640</xdr:colOff>
      <xdr:row>10</xdr:row>
      <xdr:rowOff>95250</xdr:rowOff>
    </xdr:from>
    <xdr:to>
      <xdr:col>9</xdr:col>
      <xdr:colOff>594360</xdr:colOff>
      <xdr:row>24</xdr:row>
      <xdr:rowOff>64770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1234440</xdr:colOff>
      <xdr:row>11</xdr:row>
      <xdr:rowOff>41910</xdr:rowOff>
    </xdr:from>
    <xdr:to>
      <xdr:col>11</xdr:col>
      <xdr:colOff>525780</xdr:colOff>
      <xdr:row>25</xdr:row>
      <xdr:rowOff>11430</xdr:rowOff>
    </xdr:to>
    <xdr:graphicFrame macro="">
      <xdr:nvGraphicFramePr>
        <xdr:cNvPr id="4" name="圖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822960</xdr:colOff>
      <xdr:row>4</xdr:row>
      <xdr:rowOff>194310</xdr:rowOff>
    </xdr:from>
    <xdr:to>
      <xdr:col>15</xdr:col>
      <xdr:colOff>76200</xdr:colOff>
      <xdr:row>18</xdr:row>
      <xdr:rowOff>163830</xdr:rowOff>
    </xdr:to>
    <xdr:graphicFrame macro="">
      <xdr:nvGraphicFramePr>
        <xdr:cNvPr id="5" name="圖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30480</xdr:rowOff>
    </xdr:from>
    <xdr:to>
      <xdr:col>3</xdr:col>
      <xdr:colOff>563880</xdr:colOff>
      <xdr:row>17</xdr:row>
      <xdr:rowOff>150495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urchase_month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urchase_month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822960"/>
              <a:ext cx="2575560" cy="2695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>
    <xdr:from>
      <xdr:col>4</xdr:col>
      <xdr:colOff>137160</xdr:colOff>
      <xdr:row>4</xdr:row>
      <xdr:rowOff>38100</xdr:rowOff>
    </xdr:from>
    <xdr:to>
      <xdr:col>9</xdr:col>
      <xdr:colOff>640080</xdr:colOff>
      <xdr:row>15</xdr:row>
      <xdr:rowOff>190500</xdr:rowOff>
    </xdr:to>
    <xdr:graphicFrame macro="">
      <xdr:nvGraphicFramePr>
        <xdr:cNvPr id="3" name="圖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228600</xdr:colOff>
      <xdr:row>16</xdr:row>
      <xdr:rowOff>91440</xdr:rowOff>
    </xdr:from>
    <xdr:to>
      <xdr:col>10</xdr:col>
      <xdr:colOff>68580</xdr:colOff>
      <xdr:row>26</xdr:row>
      <xdr:rowOff>99060</xdr:rowOff>
    </xdr:to>
    <xdr:graphicFrame macro="">
      <xdr:nvGraphicFramePr>
        <xdr:cNvPr id="4" name="圖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312420</xdr:colOff>
      <xdr:row>6</xdr:row>
      <xdr:rowOff>68580</xdr:rowOff>
    </xdr:from>
    <xdr:to>
      <xdr:col>16</xdr:col>
      <xdr:colOff>243840</xdr:colOff>
      <xdr:row>14</xdr:row>
      <xdr:rowOff>76200</xdr:rowOff>
    </xdr:to>
    <xdr:graphicFrame macro="">
      <xdr:nvGraphicFramePr>
        <xdr:cNvPr id="5" name="圖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04.760504166668" createdVersion="6" refreshedVersion="6" minRefreshableVersion="3" recordCount="23">
  <cacheSource type="worksheet">
    <worksheetSource ref="A1:G24" sheet="monthly_kpi"/>
  </cacheSource>
  <cacheFields count="7">
    <cacheField name="purchase_month" numFmtId="0">
      <sharedItems count="23">
        <s v="2016-09"/>
        <s v="2016-10"/>
        <s v="2016-12"/>
        <s v="2017-01"/>
        <s v="2017-02"/>
        <s v="2017-03"/>
        <s v="2017-04"/>
        <s v="2017-05"/>
        <s v="2017-06"/>
        <s v="2017-07"/>
        <s v="2017-08"/>
        <s v="2017-09"/>
        <s v="2017-10"/>
        <s v="2017-11"/>
        <s v="2017-12"/>
        <s v="2018-01"/>
        <s v="2018-02"/>
        <s v="2018-03"/>
        <s v="2018-04"/>
        <s v="2018-05"/>
        <s v="2018-06"/>
        <s v="2018-07"/>
        <s v="2018-08"/>
      </sharedItems>
    </cacheField>
    <cacheField name="total_orders" numFmtId="0">
      <sharedItems containsSemiMixedTypes="0" containsString="0" containsNumber="1" containsInteger="1" minValue="1" maxValue="7288"/>
    </cacheField>
    <cacheField name="avg_delivery_days" numFmtId="0">
      <sharedItems containsSemiMixedTypes="0" containsString="0" containsNumber="1" minValue="4" maxValue="54"/>
    </cacheField>
    <cacheField name="avg_delay" numFmtId="0">
      <sharedItems containsSemiMixedTypes="0" containsString="0" containsNumber="1" minValue="-36.675471698113199" maxValue="36"/>
    </cacheField>
    <cacheField name="delayed_orders" numFmtId="0">
      <sharedItems containsSemiMixedTypes="0" containsString="0" containsNumber="1" containsInteger="1" minValue="0" maxValue="1328"/>
    </cacheField>
    <cacheField name="delay_rate" numFmtId="0">
      <sharedItems containsSemiMixedTypes="0" containsString="0" containsNumber="1" minValue="0" maxValue="1"/>
    </cacheField>
    <cacheField name="purchase_month_str" numFmtId="0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">
  <r>
    <x v="0"/>
    <n v="1"/>
    <n v="54"/>
    <n v="36"/>
    <n v="1"/>
    <n v="1"/>
    <s v="2016-09"/>
  </r>
  <r>
    <x v="1"/>
    <n v="265"/>
    <n v="19.1358490566037"/>
    <n v="-36.675471698113199"/>
    <n v="2"/>
    <n v="7.5471698113207496E-3"/>
    <s v="2016-10"/>
  </r>
  <r>
    <x v="2"/>
    <n v="1"/>
    <n v="4"/>
    <n v="-22"/>
    <n v="0"/>
    <n v="0"/>
    <s v="2016-12"/>
  </r>
  <r>
    <x v="3"/>
    <n v="750"/>
    <n v="12.092000000000001"/>
    <n v="-27.408000000000001"/>
    <n v="22"/>
    <n v="2.9333333333333302E-2"/>
    <s v="2017-01"/>
  </r>
  <r>
    <x v="4"/>
    <n v="1653"/>
    <n v="12.606170598911"/>
    <n v="-19.1954022988505"/>
    <n v="49"/>
    <n v="2.9643073200241898E-2"/>
    <s v="2017-02"/>
  </r>
  <r>
    <x v="5"/>
    <n v="2546"/>
    <n v="12.3955223880597"/>
    <n v="-12.327179890023499"/>
    <n v="116"/>
    <n v="4.5561665357423398E-2"/>
    <s v="2017-03"/>
  </r>
  <r>
    <x v="6"/>
    <n v="2303"/>
    <n v="14.3525835866261"/>
    <n v="-12.971775944420299"/>
    <n v="151"/>
    <n v="6.5566652192791994E-2"/>
    <s v="2017-04"/>
  </r>
  <r>
    <x v="7"/>
    <n v="3545"/>
    <n v="10.760507757404699"/>
    <n v="-13.4978843441466"/>
    <n v="106"/>
    <n v="2.9901269393511901E-2"/>
    <s v="2017-05"/>
  </r>
  <r>
    <x v="8"/>
    <n v="3135"/>
    <n v="11.506220095693701"/>
    <n v="-12.644338118022301"/>
    <n v="95"/>
    <n v="3.03030303030303E-2"/>
    <s v="2017-06"/>
  </r>
  <r>
    <x v="9"/>
    <n v="3872"/>
    <n v="11.1311983471074"/>
    <n v="-12.4708161157024"/>
    <n v="108"/>
    <n v="2.7892561983470999E-2"/>
    <s v="2017-07"/>
  </r>
  <r>
    <x v="10"/>
    <n v="4193"/>
    <n v="10.7006916289053"/>
    <n v="-13.097543524922401"/>
    <n v="122"/>
    <n v="2.90961125685666E-2"/>
    <s v="2017-08"/>
  </r>
  <r>
    <x v="11"/>
    <n v="4150"/>
    <n v="11.4007228915662"/>
    <n v="-11.3481927710843"/>
    <n v="182"/>
    <n v="4.3855421686746901E-2"/>
    <s v="2017-09"/>
  </r>
  <r>
    <x v="12"/>
    <n v="4478"/>
    <n v="11.4169271996426"/>
    <n v="-11.923403305046801"/>
    <n v="187"/>
    <n v="4.1759714158106198E-2"/>
    <s v="2017-10"/>
  </r>
  <r>
    <x v="13"/>
    <n v="7288"/>
    <n v="14.6995060373216"/>
    <n v="-8.1234906695938491"/>
    <n v="904"/>
    <n v="0.12403951701427"/>
    <s v="2017-11"/>
  </r>
  <r>
    <x v="14"/>
    <n v="5513"/>
    <n v="14.936695084346001"/>
    <n v="-13.0085253038273"/>
    <n v="411"/>
    <n v="7.4551061128242294E-2"/>
    <s v="2017-12"/>
  </r>
  <r>
    <x v="15"/>
    <n v="7069"/>
    <n v="13.637289574197199"/>
    <n v="-12.934361295798499"/>
    <n v="403"/>
    <n v="5.7009478002546299E-2"/>
    <s v="2018-01"/>
  </r>
  <r>
    <x v="16"/>
    <n v="6555"/>
    <n v="16.508619374523199"/>
    <n v="-8.2907704042715409"/>
    <n v="926"/>
    <n v="0.14126620900076201"/>
    <s v="2018-02"/>
  </r>
  <r>
    <x v="17"/>
    <n v="7003"/>
    <n v="15.8674853634156"/>
    <n v="-6.4276738540625402"/>
    <n v="1328"/>
    <n v="0.18963301442239"/>
    <s v="2018-03"/>
  </r>
  <r>
    <x v="18"/>
    <n v="6798"/>
    <n v="11.048543689320301"/>
    <n v="-12.8951162106501"/>
    <n v="306"/>
    <n v="4.50132391879964E-2"/>
    <s v="2018-04"/>
  </r>
  <r>
    <x v="19"/>
    <n v="6749"/>
    <n v="10.9591050526003"/>
    <n v="-12.1909912579641"/>
    <n v="443"/>
    <n v="6.5639353978367093E-2"/>
    <s v="2018-05"/>
  </r>
  <r>
    <x v="20"/>
    <n v="6096"/>
    <n v="8.7744422572178404"/>
    <n v="-19.2440944881889"/>
    <n v="71"/>
    <n v="1.16469816272965E-2"/>
    <s v="2018-06"/>
  </r>
  <r>
    <x v="21"/>
    <n v="6156"/>
    <n v="8.5037361923326795"/>
    <n v="-11.441520467836201"/>
    <n v="208"/>
    <n v="3.3788174139051302E-2"/>
    <s v="2018-07"/>
  </r>
  <r>
    <x v="22"/>
    <n v="6351"/>
    <n v="7.28641158872618"/>
    <n v="-8.1621791843804097"/>
    <n v="393"/>
    <n v="6.18800188946622E-2"/>
    <s v="2018-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7" cacheId="11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 chartFormat="9">
  <location ref="M3:N27" firstHeaderRow="1" firstDataRow="1" firstDataCol="1"/>
  <pivotFields count="7"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平均值 - delay_rate" fld="5" subtotal="average" baseField="0" baseItem="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樞紐分析表6" cacheId="11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 chartFormat="7">
  <location ref="I3:J27" firstHeaderRow="1" firstDataRow="1" firstDataCol="1"/>
  <pivotFields count="7"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平均值 - avg_delay" fld="3" subtotal="average" baseField="0" baseItem="0"/>
  </dataFields>
  <chartFormats count="2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樞紐分析表5" cacheId="11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 chartFormat="5">
  <location ref="E3:F27" firstHeaderRow="1" firstDataRow="1" firstDataCol="1"/>
  <pivotFields count="7"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平均值 - total_orders" fld="1" subtotal="average" baseField="0" baseItem="2"/>
  </dataField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樞紐分析表4" cacheId="11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>
  <location ref="A3:C20" firstHeaderRow="1" firstDataRow="1" firstDataCol="0"/>
  <pivotFields count="7">
    <pivotField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urchase_month" sourceName="purchase_month">
  <pivotTables>
    <pivotTable tabId="2" name="樞紐分析表4"/>
    <pivotTable tabId="2" name="樞紐分析表5"/>
    <pivotTable tabId="2" name="樞紐分析表6"/>
    <pivotTable tabId="2" name="樞紐分析表7"/>
  </pivotTables>
  <data>
    <tabular pivotCacheId="1">
      <items count="23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urchase_month" cache="Slicer_purchase_month" caption="purchase_month" columnCount="3" rowHeight="2603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urchase_month 1" cache="Slicer_purchase_month" caption="purchase_month" columnCount="3" rowHeight="260350"/>
</slicer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27"/>
  <sheetViews>
    <sheetView workbookViewId="0">
      <selection activeCell="N15" sqref="N15"/>
    </sheetView>
  </sheetViews>
  <sheetFormatPr defaultRowHeight="15.6" x14ac:dyDescent="0.3"/>
  <cols>
    <col min="1" max="1" width="8.8984375" bestFit="1" customWidth="1"/>
    <col min="5" max="5" width="8.8984375" bestFit="1" customWidth="1"/>
    <col min="6" max="6" width="19.09765625" bestFit="1" customWidth="1"/>
    <col min="9" max="9" width="8.8984375" bestFit="1" customWidth="1"/>
    <col min="10" max="10" width="16.8984375" bestFit="1" customWidth="1"/>
    <col min="13" max="13" width="8.8984375" bestFit="1" customWidth="1"/>
    <col min="14" max="14" width="17.59765625" bestFit="1" customWidth="1"/>
  </cols>
  <sheetData>
    <row r="3" spans="1:14" x14ac:dyDescent="0.3">
      <c r="A3" s="1"/>
      <c r="B3" s="2"/>
      <c r="C3" s="3"/>
      <c r="E3" s="10" t="s">
        <v>31</v>
      </c>
      <c r="F3" t="s">
        <v>32</v>
      </c>
      <c r="I3" s="10" t="s">
        <v>31</v>
      </c>
      <c r="J3" t="s">
        <v>34</v>
      </c>
      <c r="M3" s="10" t="s">
        <v>31</v>
      </c>
      <c r="N3" t="s">
        <v>33</v>
      </c>
    </row>
    <row r="4" spans="1:14" x14ac:dyDescent="0.3">
      <c r="A4" s="4"/>
      <c r="B4" s="5"/>
      <c r="C4" s="6"/>
      <c r="E4" s="11" t="s">
        <v>7</v>
      </c>
      <c r="F4" s="12">
        <v>1</v>
      </c>
      <c r="I4" s="11" t="s">
        <v>7</v>
      </c>
      <c r="J4" s="12">
        <v>36</v>
      </c>
      <c r="M4" s="11" t="s">
        <v>7</v>
      </c>
      <c r="N4" s="12">
        <v>1</v>
      </c>
    </row>
    <row r="5" spans="1:14" x14ac:dyDescent="0.3">
      <c r="A5" s="4"/>
      <c r="B5" s="5"/>
      <c r="C5" s="6"/>
      <c r="E5" s="11" t="s">
        <v>8</v>
      </c>
      <c r="F5" s="12">
        <v>265</v>
      </c>
      <c r="I5" s="11" t="s">
        <v>8</v>
      </c>
      <c r="J5" s="12">
        <v>-36.675471698113199</v>
      </c>
      <c r="M5" s="11" t="s">
        <v>8</v>
      </c>
      <c r="N5" s="12">
        <v>7.5471698113207496E-3</v>
      </c>
    </row>
    <row r="6" spans="1:14" x14ac:dyDescent="0.3">
      <c r="A6" s="4"/>
      <c r="B6" s="5"/>
      <c r="C6" s="6"/>
      <c r="E6" s="11" t="s">
        <v>9</v>
      </c>
      <c r="F6" s="12">
        <v>1</v>
      </c>
      <c r="I6" s="11" t="s">
        <v>9</v>
      </c>
      <c r="J6" s="12">
        <v>-22</v>
      </c>
      <c r="M6" s="11" t="s">
        <v>9</v>
      </c>
      <c r="N6" s="12">
        <v>0</v>
      </c>
    </row>
    <row r="7" spans="1:14" x14ac:dyDescent="0.3">
      <c r="A7" s="4"/>
      <c r="B7" s="5"/>
      <c r="C7" s="6"/>
      <c r="E7" s="11" t="s">
        <v>10</v>
      </c>
      <c r="F7" s="12">
        <v>750</v>
      </c>
      <c r="I7" s="11" t="s">
        <v>10</v>
      </c>
      <c r="J7" s="12">
        <v>-27.408000000000001</v>
      </c>
      <c r="M7" s="11" t="s">
        <v>10</v>
      </c>
      <c r="N7" s="12">
        <v>2.9333333333333302E-2</v>
      </c>
    </row>
    <row r="8" spans="1:14" x14ac:dyDescent="0.3">
      <c r="A8" s="4"/>
      <c r="B8" s="5"/>
      <c r="C8" s="6"/>
      <c r="E8" s="11" t="s">
        <v>11</v>
      </c>
      <c r="F8" s="12">
        <v>1653</v>
      </c>
      <c r="I8" s="11" t="s">
        <v>11</v>
      </c>
      <c r="J8" s="12">
        <v>-19.1954022988505</v>
      </c>
      <c r="M8" s="11" t="s">
        <v>11</v>
      </c>
      <c r="N8" s="12">
        <v>2.9643073200241898E-2</v>
      </c>
    </row>
    <row r="9" spans="1:14" x14ac:dyDescent="0.3">
      <c r="A9" s="4"/>
      <c r="B9" s="5"/>
      <c r="C9" s="6"/>
      <c r="E9" s="11" t="s">
        <v>12</v>
      </c>
      <c r="F9" s="12">
        <v>2546</v>
      </c>
      <c r="I9" s="11" t="s">
        <v>12</v>
      </c>
      <c r="J9" s="12">
        <v>-12.327179890023499</v>
      </c>
      <c r="M9" s="11" t="s">
        <v>12</v>
      </c>
      <c r="N9" s="12">
        <v>4.5561665357423398E-2</v>
      </c>
    </row>
    <row r="10" spans="1:14" x14ac:dyDescent="0.3">
      <c r="A10" s="4"/>
      <c r="B10" s="5"/>
      <c r="C10" s="6"/>
      <c r="E10" s="11" t="s">
        <v>13</v>
      </c>
      <c r="F10" s="12">
        <v>2303</v>
      </c>
      <c r="I10" s="11" t="s">
        <v>13</v>
      </c>
      <c r="J10" s="12">
        <v>-12.971775944420299</v>
      </c>
      <c r="M10" s="11" t="s">
        <v>13</v>
      </c>
      <c r="N10" s="12">
        <v>6.5566652192791994E-2</v>
      </c>
    </row>
    <row r="11" spans="1:14" x14ac:dyDescent="0.3">
      <c r="A11" s="4"/>
      <c r="B11" s="5"/>
      <c r="C11" s="6"/>
      <c r="E11" s="11" t="s">
        <v>14</v>
      </c>
      <c r="F11" s="12">
        <v>3545</v>
      </c>
      <c r="I11" s="11" t="s">
        <v>14</v>
      </c>
      <c r="J11" s="12">
        <v>-13.4978843441466</v>
      </c>
      <c r="M11" s="11" t="s">
        <v>14</v>
      </c>
      <c r="N11" s="12">
        <v>2.9901269393511901E-2</v>
      </c>
    </row>
    <row r="12" spans="1:14" x14ac:dyDescent="0.3">
      <c r="A12" s="4"/>
      <c r="B12" s="5"/>
      <c r="C12" s="6"/>
      <c r="E12" s="11" t="s">
        <v>15</v>
      </c>
      <c r="F12" s="12">
        <v>3135</v>
      </c>
      <c r="I12" s="11" t="s">
        <v>15</v>
      </c>
      <c r="J12" s="12">
        <v>-12.644338118022301</v>
      </c>
      <c r="M12" s="11" t="s">
        <v>15</v>
      </c>
      <c r="N12" s="12">
        <v>3.03030303030303E-2</v>
      </c>
    </row>
    <row r="13" spans="1:14" x14ac:dyDescent="0.3">
      <c r="A13" s="4"/>
      <c r="B13" s="5"/>
      <c r="C13" s="6"/>
      <c r="E13" s="11" t="s">
        <v>16</v>
      </c>
      <c r="F13" s="12">
        <v>3872</v>
      </c>
      <c r="I13" s="11" t="s">
        <v>16</v>
      </c>
      <c r="J13" s="12">
        <v>-12.4708161157024</v>
      </c>
      <c r="M13" s="11" t="s">
        <v>16</v>
      </c>
      <c r="N13" s="12">
        <v>2.7892561983470999E-2</v>
      </c>
    </row>
    <row r="14" spans="1:14" x14ac:dyDescent="0.3">
      <c r="A14" s="4"/>
      <c r="B14" s="5"/>
      <c r="C14" s="6"/>
      <c r="E14" s="11" t="s">
        <v>17</v>
      </c>
      <c r="F14" s="12">
        <v>4193</v>
      </c>
      <c r="I14" s="11" t="s">
        <v>17</v>
      </c>
      <c r="J14" s="12">
        <v>-13.097543524922401</v>
      </c>
      <c r="M14" s="11" t="s">
        <v>17</v>
      </c>
      <c r="N14" s="12">
        <v>2.90961125685666E-2</v>
      </c>
    </row>
    <row r="15" spans="1:14" x14ac:dyDescent="0.3">
      <c r="A15" s="4"/>
      <c r="B15" s="5"/>
      <c r="C15" s="6"/>
      <c r="E15" s="11" t="s">
        <v>18</v>
      </c>
      <c r="F15" s="12">
        <v>4150</v>
      </c>
      <c r="I15" s="11" t="s">
        <v>18</v>
      </c>
      <c r="J15" s="12">
        <v>-11.3481927710843</v>
      </c>
      <c r="M15" s="11" t="s">
        <v>18</v>
      </c>
      <c r="N15" s="12">
        <v>4.3855421686746901E-2</v>
      </c>
    </row>
    <row r="16" spans="1:14" x14ac:dyDescent="0.3">
      <c r="A16" s="4"/>
      <c r="B16" s="5"/>
      <c r="C16" s="6"/>
      <c r="E16" s="11" t="s">
        <v>19</v>
      </c>
      <c r="F16" s="12">
        <v>4478</v>
      </c>
      <c r="I16" s="11" t="s">
        <v>19</v>
      </c>
      <c r="J16" s="12">
        <v>-11.923403305046801</v>
      </c>
      <c r="M16" s="11" t="s">
        <v>19</v>
      </c>
      <c r="N16" s="12">
        <v>4.1759714158106198E-2</v>
      </c>
    </row>
    <row r="17" spans="1:14" x14ac:dyDescent="0.3">
      <c r="A17" s="4"/>
      <c r="B17" s="5"/>
      <c r="C17" s="6"/>
      <c r="E17" s="11" t="s">
        <v>20</v>
      </c>
      <c r="F17" s="12">
        <v>7288</v>
      </c>
      <c r="I17" s="11" t="s">
        <v>20</v>
      </c>
      <c r="J17" s="12">
        <v>-8.1234906695938491</v>
      </c>
      <c r="M17" s="11" t="s">
        <v>20</v>
      </c>
      <c r="N17" s="12">
        <v>0.12403951701427</v>
      </c>
    </row>
    <row r="18" spans="1:14" x14ac:dyDescent="0.3">
      <c r="A18" s="4"/>
      <c r="B18" s="5"/>
      <c r="C18" s="6"/>
      <c r="E18" s="11" t="s">
        <v>21</v>
      </c>
      <c r="F18" s="12">
        <v>5513</v>
      </c>
      <c r="I18" s="11" t="s">
        <v>21</v>
      </c>
      <c r="J18" s="12">
        <v>-13.0085253038273</v>
      </c>
      <c r="M18" s="11" t="s">
        <v>21</v>
      </c>
      <c r="N18" s="12">
        <v>7.4551061128242294E-2</v>
      </c>
    </row>
    <row r="19" spans="1:14" x14ac:dyDescent="0.3">
      <c r="A19" s="4"/>
      <c r="B19" s="5"/>
      <c r="C19" s="6"/>
      <c r="E19" s="11" t="s">
        <v>22</v>
      </c>
      <c r="F19" s="12">
        <v>7069</v>
      </c>
      <c r="I19" s="11" t="s">
        <v>22</v>
      </c>
      <c r="J19" s="12">
        <v>-12.934361295798499</v>
      </c>
      <c r="M19" s="11" t="s">
        <v>22</v>
      </c>
      <c r="N19" s="12">
        <v>5.7009478002546299E-2</v>
      </c>
    </row>
    <row r="20" spans="1:14" x14ac:dyDescent="0.3">
      <c r="A20" s="7"/>
      <c r="B20" s="8"/>
      <c r="C20" s="9"/>
      <c r="E20" s="11" t="s">
        <v>23</v>
      </c>
      <c r="F20" s="12">
        <v>6555</v>
      </c>
      <c r="I20" s="11" t="s">
        <v>23</v>
      </c>
      <c r="J20" s="12">
        <v>-8.2907704042715409</v>
      </c>
      <c r="M20" s="11" t="s">
        <v>23</v>
      </c>
      <c r="N20" s="12">
        <v>0.14126620900076201</v>
      </c>
    </row>
    <row r="21" spans="1:14" x14ac:dyDescent="0.3">
      <c r="E21" s="11" t="s">
        <v>24</v>
      </c>
      <c r="F21" s="12">
        <v>7003</v>
      </c>
      <c r="I21" s="11" t="s">
        <v>24</v>
      </c>
      <c r="J21" s="12">
        <v>-6.4276738540625402</v>
      </c>
      <c r="M21" s="11" t="s">
        <v>24</v>
      </c>
      <c r="N21" s="12">
        <v>0.18963301442239</v>
      </c>
    </row>
    <row r="22" spans="1:14" x14ac:dyDescent="0.3">
      <c r="E22" s="11" t="s">
        <v>25</v>
      </c>
      <c r="F22" s="12">
        <v>6798</v>
      </c>
      <c r="I22" s="11" t="s">
        <v>25</v>
      </c>
      <c r="J22" s="12">
        <v>-12.8951162106501</v>
      </c>
      <c r="M22" s="11" t="s">
        <v>25</v>
      </c>
      <c r="N22" s="12">
        <v>4.50132391879964E-2</v>
      </c>
    </row>
    <row r="23" spans="1:14" x14ac:dyDescent="0.3">
      <c r="E23" s="11" t="s">
        <v>26</v>
      </c>
      <c r="F23" s="12">
        <v>6749</v>
      </c>
      <c r="I23" s="11" t="s">
        <v>26</v>
      </c>
      <c r="J23" s="12">
        <v>-12.1909912579641</v>
      </c>
      <c r="M23" s="11" t="s">
        <v>26</v>
      </c>
      <c r="N23" s="12">
        <v>6.5639353978367093E-2</v>
      </c>
    </row>
    <row r="24" spans="1:14" x14ac:dyDescent="0.3">
      <c r="E24" s="11" t="s">
        <v>27</v>
      </c>
      <c r="F24" s="12">
        <v>6096</v>
      </c>
      <c r="I24" s="11" t="s">
        <v>27</v>
      </c>
      <c r="J24" s="12">
        <v>-19.2440944881889</v>
      </c>
      <c r="M24" s="11" t="s">
        <v>27</v>
      </c>
      <c r="N24" s="12">
        <v>1.16469816272965E-2</v>
      </c>
    </row>
    <row r="25" spans="1:14" x14ac:dyDescent="0.3">
      <c r="E25" s="11" t="s">
        <v>28</v>
      </c>
      <c r="F25" s="12">
        <v>6156</v>
      </c>
      <c r="I25" s="11" t="s">
        <v>28</v>
      </c>
      <c r="J25" s="12">
        <v>-11.441520467836201</v>
      </c>
      <c r="M25" s="11" t="s">
        <v>28</v>
      </c>
      <c r="N25" s="12">
        <v>3.3788174139051302E-2</v>
      </c>
    </row>
    <row r="26" spans="1:14" x14ac:dyDescent="0.3">
      <c r="E26" s="11" t="s">
        <v>29</v>
      </c>
      <c r="F26" s="12">
        <v>6351</v>
      </c>
      <c r="I26" s="11" t="s">
        <v>29</v>
      </c>
      <c r="J26" s="12">
        <v>-8.1621791843804097</v>
      </c>
      <c r="M26" s="11" t="s">
        <v>29</v>
      </c>
      <c r="N26" s="12">
        <v>6.18800188946622E-2</v>
      </c>
    </row>
    <row r="27" spans="1:14" x14ac:dyDescent="0.3">
      <c r="E27" s="11" t="s">
        <v>30</v>
      </c>
      <c r="F27" s="12">
        <v>4194.347826086957</v>
      </c>
      <c r="I27" s="11" t="s">
        <v>30</v>
      </c>
      <c r="J27" s="12">
        <v>-12.272988310735032</v>
      </c>
      <c r="M27" s="11" t="s">
        <v>30</v>
      </c>
      <c r="N27" s="12">
        <v>9.4996828321049054E-2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>
      <selection activeCell="M7" sqref="M7"/>
    </sheetView>
  </sheetViews>
  <sheetFormatPr defaultRowHeight="15.6" x14ac:dyDescent="0.3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opLeftCell="A6" workbookViewId="0">
      <selection activeCell="B27" sqref="B27:B30"/>
    </sheetView>
  </sheetViews>
  <sheetFormatPr defaultRowHeight="15.6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</v>
      </c>
      <c r="C2">
        <v>54</v>
      </c>
      <c r="D2">
        <v>36</v>
      </c>
      <c r="E2">
        <v>1</v>
      </c>
      <c r="F2">
        <v>1</v>
      </c>
      <c r="G2" t="s">
        <v>7</v>
      </c>
    </row>
    <row r="3" spans="1:7" x14ac:dyDescent="0.3">
      <c r="A3" t="s">
        <v>8</v>
      </c>
      <c r="B3">
        <v>265</v>
      </c>
      <c r="C3">
        <v>19.1358490566037</v>
      </c>
      <c r="D3">
        <v>-36.675471698113199</v>
      </c>
      <c r="E3">
        <v>2</v>
      </c>
      <c r="F3">
        <v>7.5471698113207496E-3</v>
      </c>
      <c r="G3" t="s">
        <v>8</v>
      </c>
    </row>
    <row r="4" spans="1:7" x14ac:dyDescent="0.3">
      <c r="A4" t="s">
        <v>9</v>
      </c>
      <c r="B4">
        <v>1</v>
      </c>
      <c r="C4">
        <v>4</v>
      </c>
      <c r="D4">
        <v>-22</v>
      </c>
      <c r="E4">
        <v>0</v>
      </c>
      <c r="F4">
        <v>0</v>
      </c>
      <c r="G4" t="s">
        <v>9</v>
      </c>
    </row>
    <row r="5" spans="1:7" x14ac:dyDescent="0.3">
      <c r="A5" t="s">
        <v>10</v>
      </c>
      <c r="B5">
        <v>750</v>
      </c>
      <c r="C5">
        <v>12.092000000000001</v>
      </c>
      <c r="D5">
        <v>-27.408000000000001</v>
      </c>
      <c r="E5">
        <v>22</v>
      </c>
      <c r="F5">
        <v>2.9333333333333302E-2</v>
      </c>
      <c r="G5" t="s">
        <v>10</v>
      </c>
    </row>
    <row r="6" spans="1:7" x14ac:dyDescent="0.3">
      <c r="A6" t="s">
        <v>11</v>
      </c>
      <c r="B6">
        <v>1653</v>
      </c>
      <c r="C6">
        <v>12.606170598911</v>
      </c>
      <c r="D6">
        <v>-19.1954022988505</v>
      </c>
      <c r="E6">
        <v>49</v>
      </c>
      <c r="F6">
        <v>2.9643073200241898E-2</v>
      </c>
      <c r="G6" t="s">
        <v>11</v>
      </c>
    </row>
    <row r="7" spans="1:7" x14ac:dyDescent="0.3">
      <c r="A7" t="s">
        <v>12</v>
      </c>
      <c r="B7">
        <v>2546</v>
      </c>
      <c r="C7">
        <v>12.3955223880597</v>
      </c>
      <c r="D7">
        <v>-12.327179890023499</v>
      </c>
      <c r="E7">
        <v>116</v>
      </c>
      <c r="F7">
        <v>4.5561665357423398E-2</v>
      </c>
      <c r="G7" t="s">
        <v>12</v>
      </c>
    </row>
    <row r="8" spans="1:7" x14ac:dyDescent="0.3">
      <c r="A8" t="s">
        <v>13</v>
      </c>
      <c r="B8">
        <v>2303</v>
      </c>
      <c r="C8">
        <v>14.3525835866261</v>
      </c>
      <c r="D8">
        <v>-12.971775944420299</v>
      </c>
      <c r="E8">
        <v>151</v>
      </c>
      <c r="F8">
        <v>6.5566652192791994E-2</v>
      </c>
      <c r="G8" t="s">
        <v>13</v>
      </c>
    </row>
    <row r="9" spans="1:7" x14ac:dyDescent="0.3">
      <c r="A9" t="s">
        <v>14</v>
      </c>
      <c r="B9">
        <v>3545</v>
      </c>
      <c r="C9">
        <v>10.760507757404699</v>
      </c>
      <c r="D9">
        <v>-13.4978843441466</v>
      </c>
      <c r="E9">
        <v>106</v>
      </c>
      <c r="F9">
        <v>2.9901269393511901E-2</v>
      </c>
      <c r="G9" t="s">
        <v>14</v>
      </c>
    </row>
    <row r="10" spans="1:7" x14ac:dyDescent="0.3">
      <c r="A10" t="s">
        <v>15</v>
      </c>
      <c r="B10">
        <v>3135</v>
      </c>
      <c r="C10">
        <v>11.506220095693701</v>
      </c>
      <c r="D10">
        <v>-12.644338118022301</v>
      </c>
      <c r="E10">
        <v>95</v>
      </c>
      <c r="F10">
        <v>3.03030303030303E-2</v>
      </c>
      <c r="G10" t="s">
        <v>15</v>
      </c>
    </row>
    <row r="11" spans="1:7" x14ac:dyDescent="0.3">
      <c r="A11" t="s">
        <v>16</v>
      </c>
      <c r="B11">
        <v>3872</v>
      </c>
      <c r="C11">
        <v>11.1311983471074</v>
      </c>
      <c r="D11">
        <v>-12.4708161157024</v>
      </c>
      <c r="E11">
        <v>108</v>
      </c>
      <c r="F11">
        <v>2.7892561983470999E-2</v>
      </c>
      <c r="G11" t="s">
        <v>16</v>
      </c>
    </row>
    <row r="12" spans="1:7" x14ac:dyDescent="0.3">
      <c r="A12" t="s">
        <v>17</v>
      </c>
      <c r="B12">
        <v>4193</v>
      </c>
      <c r="C12">
        <v>10.7006916289053</v>
      </c>
      <c r="D12">
        <v>-13.097543524922401</v>
      </c>
      <c r="E12">
        <v>122</v>
      </c>
      <c r="F12">
        <v>2.90961125685666E-2</v>
      </c>
      <c r="G12" t="s">
        <v>17</v>
      </c>
    </row>
    <row r="13" spans="1:7" x14ac:dyDescent="0.3">
      <c r="A13" t="s">
        <v>18</v>
      </c>
      <c r="B13">
        <v>4150</v>
      </c>
      <c r="C13">
        <v>11.4007228915662</v>
      </c>
      <c r="D13">
        <v>-11.3481927710843</v>
      </c>
      <c r="E13">
        <v>182</v>
      </c>
      <c r="F13">
        <v>4.3855421686746901E-2</v>
      </c>
      <c r="G13" t="s">
        <v>18</v>
      </c>
    </row>
    <row r="14" spans="1:7" x14ac:dyDescent="0.3">
      <c r="A14" t="s">
        <v>19</v>
      </c>
      <c r="B14">
        <v>4478</v>
      </c>
      <c r="C14">
        <v>11.4169271996426</v>
      </c>
      <c r="D14">
        <v>-11.923403305046801</v>
      </c>
      <c r="E14">
        <v>187</v>
      </c>
      <c r="F14">
        <v>4.1759714158106198E-2</v>
      </c>
      <c r="G14" t="s">
        <v>19</v>
      </c>
    </row>
    <row r="15" spans="1:7" x14ac:dyDescent="0.3">
      <c r="A15" t="s">
        <v>20</v>
      </c>
      <c r="B15">
        <v>7288</v>
      </c>
      <c r="C15">
        <v>14.6995060373216</v>
      </c>
      <c r="D15">
        <v>-8.1234906695938491</v>
      </c>
      <c r="E15">
        <v>904</v>
      </c>
      <c r="F15">
        <v>0.12403951701427</v>
      </c>
      <c r="G15" t="s">
        <v>20</v>
      </c>
    </row>
    <row r="16" spans="1:7" x14ac:dyDescent="0.3">
      <c r="A16" t="s">
        <v>21</v>
      </c>
      <c r="B16">
        <v>5513</v>
      </c>
      <c r="C16">
        <v>14.936695084346001</v>
      </c>
      <c r="D16">
        <v>-13.0085253038273</v>
      </c>
      <c r="E16">
        <v>411</v>
      </c>
      <c r="F16">
        <v>7.4551061128242294E-2</v>
      </c>
      <c r="G16" t="s">
        <v>21</v>
      </c>
    </row>
    <row r="17" spans="1:7" x14ac:dyDescent="0.3">
      <c r="A17" t="s">
        <v>22</v>
      </c>
      <c r="B17">
        <v>7069</v>
      </c>
      <c r="C17">
        <v>13.637289574197199</v>
      </c>
      <c r="D17">
        <v>-12.934361295798499</v>
      </c>
      <c r="E17">
        <v>403</v>
      </c>
      <c r="F17">
        <v>5.7009478002546299E-2</v>
      </c>
      <c r="G17" t="s">
        <v>22</v>
      </c>
    </row>
    <row r="18" spans="1:7" x14ac:dyDescent="0.3">
      <c r="A18" t="s">
        <v>23</v>
      </c>
      <c r="B18">
        <v>6555</v>
      </c>
      <c r="C18">
        <v>16.508619374523199</v>
      </c>
      <c r="D18">
        <v>-8.2907704042715409</v>
      </c>
      <c r="E18">
        <v>926</v>
      </c>
      <c r="F18">
        <v>0.14126620900076201</v>
      </c>
      <c r="G18" t="s">
        <v>23</v>
      </c>
    </row>
    <row r="19" spans="1:7" x14ac:dyDescent="0.3">
      <c r="A19" t="s">
        <v>24</v>
      </c>
      <c r="B19">
        <v>7003</v>
      </c>
      <c r="C19">
        <v>15.8674853634156</v>
      </c>
      <c r="D19">
        <v>-6.4276738540625402</v>
      </c>
      <c r="E19">
        <v>1328</v>
      </c>
      <c r="F19">
        <v>0.18963301442239</v>
      </c>
      <c r="G19" t="s">
        <v>24</v>
      </c>
    </row>
    <row r="20" spans="1:7" x14ac:dyDescent="0.3">
      <c r="A20" t="s">
        <v>25</v>
      </c>
      <c r="B20">
        <v>6798</v>
      </c>
      <c r="C20">
        <v>11.048543689320301</v>
      </c>
      <c r="D20">
        <v>-12.8951162106501</v>
      </c>
      <c r="E20">
        <v>306</v>
      </c>
      <c r="F20">
        <v>4.50132391879964E-2</v>
      </c>
      <c r="G20" t="s">
        <v>25</v>
      </c>
    </row>
    <row r="21" spans="1:7" x14ac:dyDescent="0.3">
      <c r="A21" t="s">
        <v>26</v>
      </c>
      <c r="B21">
        <v>6749</v>
      </c>
      <c r="C21">
        <v>10.9591050526003</v>
      </c>
      <c r="D21">
        <v>-12.1909912579641</v>
      </c>
      <c r="E21">
        <v>443</v>
      </c>
      <c r="F21">
        <v>6.5639353978367093E-2</v>
      </c>
      <c r="G21" t="s">
        <v>26</v>
      </c>
    </row>
    <row r="22" spans="1:7" x14ac:dyDescent="0.3">
      <c r="A22" t="s">
        <v>27</v>
      </c>
      <c r="B22">
        <v>6096</v>
      </c>
      <c r="C22">
        <v>8.7744422572178404</v>
      </c>
      <c r="D22">
        <v>-19.2440944881889</v>
      </c>
      <c r="E22">
        <v>71</v>
      </c>
      <c r="F22">
        <v>1.16469816272965E-2</v>
      </c>
      <c r="G22" t="s">
        <v>27</v>
      </c>
    </row>
    <row r="23" spans="1:7" x14ac:dyDescent="0.3">
      <c r="A23" t="s">
        <v>28</v>
      </c>
      <c r="B23">
        <v>6156</v>
      </c>
      <c r="C23">
        <v>8.5037361923326795</v>
      </c>
      <c r="D23">
        <v>-11.441520467836201</v>
      </c>
      <c r="E23">
        <v>208</v>
      </c>
      <c r="F23">
        <v>3.3788174139051302E-2</v>
      </c>
      <c r="G23" t="s">
        <v>28</v>
      </c>
    </row>
    <row r="24" spans="1:7" x14ac:dyDescent="0.3">
      <c r="A24" t="s">
        <v>29</v>
      </c>
      <c r="B24">
        <v>6351</v>
      </c>
      <c r="C24">
        <v>7.28641158872618</v>
      </c>
      <c r="D24">
        <v>-8.1621791843804097</v>
      </c>
      <c r="E24">
        <v>393</v>
      </c>
      <c r="F24">
        <v>6.18800188946622E-2</v>
      </c>
      <c r="G2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monthly_kpi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蘇育正</dc:creator>
  <cp:lastModifiedBy>user</cp:lastModifiedBy>
  <dcterms:created xsi:type="dcterms:W3CDTF">2026-03-23T11:29:27Z</dcterms:created>
  <dcterms:modified xsi:type="dcterms:W3CDTF">2026-03-23T11:29:27Z</dcterms:modified>
</cp:coreProperties>
</file>